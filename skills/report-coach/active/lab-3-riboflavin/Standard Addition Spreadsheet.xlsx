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d Addition Stats" sheetId="1" r:id="rId5"/>
  </sheets>
  <definedNames/>
  <calcPr/>
</workbook>
</file>

<file path=xl/sharedStrings.xml><?xml version="1.0" encoding="utf-8"?>
<sst xmlns="http://schemas.openxmlformats.org/spreadsheetml/2006/main" count="37" uniqueCount="37">
  <si>
    <t>Standard #</t>
  </si>
  <si>
    <t>x: Added Vol. (mL)</t>
  </si>
  <si>
    <t>y: Reading</t>
  </si>
  <si>
    <t>xi^2</t>
  </si>
  <si>
    <t>yi^2</t>
  </si>
  <si>
    <t>xi*yi</t>
  </si>
  <si>
    <t>N</t>
  </si>
  <si>
    <t>Standard Conc. (ppm)</t>
  </si>
  <si>
    <t>Concentration (ppm)</t>
  </si>
  <si>
    <t>xbar</t>
  </si>
  <si>
    <t>Volume Unknown (mL)</t>
  </si>
  <si>
    <t>Volume (L)</t>
  </si>
  <si>
    <t>ybar</t>
  </si>
  <si>
    <t>Total Volume (mL)</t>
  </si>
  <si>
    <t>Mass Tablet (mg)</t>
  </si>
  <si>
    <t>Sxx</t>
  </si>
  <si>
    <t>Mass Rib (mg)</t>
  </si>
  <si>
    <t>Syy</t>
  </si>
  <si>
    <t>-x-intercept (mL)</t>
  </si>
  <si>
    <t>mass %</t>
  </si>
  <si>
    <t>Sxy</t>
  </si>
  <si>
    <t>xc (ppm)</t>
  </si>
  <si>
    <t>%error</t>
  </si>
  <si>
    <t>SUM</t>
  </si>
  <si>
    <t>(SUM xi)^2</t>
  </si>
  <si>
    <t>m</t>
  </si>
  <si>
    <t>(SUM yi)^2</t>
  </si>
  <si>
    <t>b</t>
  </si>
  <si>
    <t>sr</t>
  </si>
  <si>
    <t>sm</t>
  </si>
  <si>
    <t>sb</t>
  </si>
  <si>
    <t>sc</t>
  </si>
  <si>
    <t>t (N-2)</t>
  </si>
  <si>
    <t>95%CI</t>
  </si>
  <si>
    <t>slope (m)</t>
  </si>
  <si>
    <t>Intercept (b)</t>
  </si>
  <si>
    <t>concentration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</si>
</sst>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4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2" fontId="3" numFmtId="0" xfId="0" applyBorder="1" applyFont="1"/>
    <xf borderId="0" fillId="0" fontId="4" numFmtId="0" xfId="0" applyFont="1"/>
    <xf borderId="0" fillId="0" fontId="5" numFmtId="0" xfId="0" applyFont="1"/>
    <xf borderId="0" fillId="0" fontId="1" numFmtId="49" xfId="0" applyFont="1" applyNumberFormat="1"/>
    <xf borderId="0" fillId="0" fontId="3" numFmtId="164" xfId="0" applyAlignment="1" applyFont="1" applyNumberFormat="1">
      <alignment horizontal="center"/>
    </xf>
    <xf borderId="0" fillId="0" fontId="3" numFmtId="165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52333278"/>
        <c:axId val="184937302"/>
      </c:scatterChart>
      <c:valAx>
        <c:axId val="1652333278"/>
        <c:scaling>
          <c:orientation val="minMax"/>
          <c:max val="5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8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800">
                    <a:solidFill>
                      <a:srgbClr val="000000"/>
                    </a:solidFill>
                    <a:latin typeface="Times New Roman"/>
                  </a:rPr>
                  <a:t>Added Volume of 10.0 ppm Standard (mL)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Times New Roman"/>
              </a:defRPr>
            </a:pPr>
          </a:p>
        </c:txPr>
        <c:crossAx val="184937302"/>
      </c:valAx>
      <c:valAx>
        <c:axId val="1849373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5233327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25</xdr:row>
      <xdr:rowOff>123825</xdr:rowOff>
    </xdr:from>
    <xdr:ext cx="8001000" cy="5572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13"/>
    <col customWidth="1" min="3" max="3" width="10.75"/>
    <col customWidth="1" min="4" max="4" width="11.38"/>
    <col customWidth="1" min="5" max="6" width="10.75"/>
    <col customWidth="1" min="7" max="7" width="2.63"/>
    <col customWidth="1" min="8" max="8" width="11.63"/>
    <col customWidth="1" min="9" max="9" width="10.75"/>
    <col customWidth="1" min="10" max="10" width="1.13"/>
    <col customWidth="1" min="11" max="11" width="25.63"/>
    <col customWidth="1" min="12" max="12" width="24.0"/>
    <col customWidth="1" min="13" max="13" width="10.75"/>
    <col customWidth="1" min="14" max="14" width="19.5"/>
    <col customWidth="1" min="15" max="15" width="15.0"/>
    <col customWidth="1" min="16" max="22" width="10.75"/>
    <col customWidth="1" min="23" max="26" width="10.88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3">
        <f>COUNT(A:A)</f>
        <v>5</v>
      </c>
      <c r="K1" s="1" t="s">
        <v>7</v>
      </c>
      <c r="L1" s="4"/>
      <c r="M1" s="1"/>
      <c r="N1" s="5" t="s">
        <v>8</v>
      </c>
      <c r="O1" s="3" t="str">
        <f>L6</f>
        <v>#DIV/0!</v>
      </c>
    </row>
    <row r="2" ht="14.25" customHeight="1">
      <c r="A2" s="1">
        <v>1.0</v>
      </c>
      <c r="B2" s="4"/>
      <c r="C2" s="4"/>
      <c r="D2" s="3">
        <f t="shared" ref="D2:E2" si="1">B2^2</f>
        <v>0</v>
      </c>
      <c r="E2" s="3">
        <f t="shared" si="1"/>
        <v>0</v>
      </c>
      <c r="F2" s="3">
        <f t="shared" ref="F2:F6" si="3">B2*C2</f>
        <v>0</v>
      </c>
      <c r="H2" s="1" t="s">
        <v>9</v>
      </c>
      <c r="I2" s="3">
        <f>B7/I1</f>
        <v>0</v>
      </c>
      <c r="K2" s="1" t="s">
        <v>10</v>
      </c>
      <c r="L2" s="4"/>
      <c r="M2" s="1"/>
      <c r="N2" s="6" t="s">
        <v>11</v>
      </c>
      <c r="O2" s="3"/>
    </row>
    <row r="3" ht="14.25" customHeight="1">
      <c r="A3" s="1">
        <v>2.0</v>
      </c>
      <c r="B3" s="4"/>
      <c r="C3" s="4"/>
      <c r="D3" s="3">
        <f t="shared" ref="D3:E3" si="2">B3^2</f>
        <v>0</v>
      </c>
      <c r="E3" s="3">
        <f t="shared" si="2"/>
        <v>0</v>
      </c>
      <c r="F3" s="3">
        <f t="shared" si="3"/>
        <v>0</v>
      </c>
      <c r="H3" s="1" t="s">
        <v>12</v>
      </c>
      <c r="I3" s="3">
        <f>C7/I1</f>
        <v>0</v>
      </c>
      <c r="K3" s="1" t="s">
        <v>13</v>
      </c>
      <c r="L3" s="4"/>
      <c r="N3" s="6" t="s">
        <v>14</v>
      </c>
      <c r="O3" s="3"/>
    </row>
    <row r="4" ht="14.25" customHeight="1">
      <c r="A4" s="1">
        <v>3.0</v>
      </c>
      <c r="B4" s="4"/>
      <c r="C4" s="4"/>
      <c r="D4" s="3">
        <f t="shared" ref="D4:E4" si="4">B4^2</f>
        <v>0</v>
      </c>
      <c r="E4" s="3">
        <f t="shared" si="4"/>
        <v>0</v>
      </c>
      <c r="F4" s="3">
        <f t="shared" si="3"/>
        <v>0</v>
      </c>
      <c r="H4" s="1" t="s">
        <v>15</v>
      </c>
      <c r="I4" s="3">
        <f>D7-B8/I1</f>
        <v>0</v>
      </c>
      <c r="M4" s="1"/>
      <c r="N4" s="6" t="s">
        <v>16</v>
      </c>
      <c r="O4" s="3" t="str">
        <f>O1*O2</f>
        <v>#DIV/0!</v>
      </c>
    </row>
    <row r="5" ht="14.25" customHeight="1">
      <c r="A5" s="1">
        <v>4.0</v>
      </c>
      <c r="B5" s="4"/>
      <c r="C5" s="4"/>
      <c r="D5" s="3">
        <f t="shared" ref="D5:E5" si="5">B5^2</f>
        <v>0</v>
      </c>
      <c r="E5" s="3">
        <f t="shared" si="5"/>
        <v>0</v>
      </c>
      <c r="F5" s="3">
        <f t="shared" si="3"/>
        <v>0</v>
      </c>
      <c r="H5" s="1" t="s">
        <v>17</v>
      </c>
      <c r="I5" s="3">
        <f>E7-B9/I1</f>
        <v>0</v>
      </c>
      <c r="K5" s="7" t="s">
        <v>18</v>
      </c>
      <c r="L5" s="3" t="str">
        <f>I9/I8</f>
        <v>#DIV/0!</v>
      </c>
      <c r="M5" s="1"/>
      <c r="N5" s="6" t="s">
        <v>19</v>
      </c>
      <c r="O5" s="3" t="str">
        <f>O4/O3*100</f>
        <v>#DIV/0!</v>
      </c>
    </row>
    <row r="6" ht="14.25" customHeight="1">
      <c r="A6" s="1">
        <v>5.0</v>
      </c>
      <c r="B6" s="4"/>
      <c r="C6" s="4"/>
      <c r="D6" s="3">
        <f t="shared" ref="D6:E6" si="6">B6^2</f>
        <v>0</v>
      </c>
      <c r="E6" s="3">
        <f t="shared" si="6"/>
        <v>0</v>
      </c>
      <c r="F6" s="3">
        <f t="shared" si="3"/>
        <v>0</v>
      </c>
      <c r="H6" s="1" t="s">
        <v>20</v>
      </c>
      <c r="I6" s="3">
        <f>F7-(B7*C7)/I1</f>
        <v>0</v>
      </c>
      <c r="K6" s="1" t="s">
        <v>21</v>
      </c>
      <c r="L6" s="3" t="str">
        <f>L5*(L1/L2)</f>
        <v>#DIV/0!</v>
      </c>
      <c r="M6" s="1"/>
      <c r="N6" s="6" t="s">
        <v>22</v>
      </c>
      <c r="O6" s="3" t="str">
        <f>(5-O5)/5*100</f>
        <v>#DIV/0!</v>
      </c>
    </row>
    <row r="7" ht="14.25" customHeight="1">
      <c r="A7" s="1" t="s">
        <v>23</v>
      </c>
      <c r="B7" s="3">
        <f t="shared" ref="B7:F7" si="7">SUM(B2:B6)</f>
        <v>0</v>
      </c>
      <c r="C7" s="3">
        <f t="shared" si="7"/>
        <v>0</v>
      </c>
      <c r="D7" s="3">
        <f t="shared" si="7"/>
        <v>0</v>
      </c>
      <c r="E7" s="3">
        <f t="shared" si="7"/>
        <v>0</v>
      </c>
      <c r="F7" s="3">
        <f t="shared" si="7"/>
        <v>0</v>
      </c>
      <c r="H7" s="1"/>
      <c r="K7" s="1"/>
    </row>
    <row r="8" ht="14.25" customHeight="1">
      <c r="A8" s="1" t="s">
        <v>24</v>
      </c>
      <c r="B8" s="3">
        <f>B7^2</f>
        <v>0</v>
      </c>
      <c r="H8" s="1" t="s">
        <v>25</v>
      </c>
      <c r="I8" s="3" t="str">
        <f>I6/I4</f>
        <v>#DIV/0!</v>
      </c>
    </row>
    <row r="9" ht="14.25" customHeight="1">
      <c r="A9" s="1" t="s">
        <v>26</v>
      </c>
      <c r="B9" s="3">
        <f>C7^2</f>
        <v>0</v>
      </c>
      <c r="H9" s="1" t="s">
        <v>27</v>
      </c>
      <c r="I9" s="3" t="str">
        <f>I3-I8*I2</f>
        <v>#DIV/0!</v>
      </c>
    </row>
    <row r="10" ht="14.25" customHeight="1">
      <c r="D10" s="8"/>
      <c r="H10" s="1"/>
    </row>
    <row r="11" ht="14.25" customHeight="1">
      <c r="H11" s="1" t="s">
        <v>28</v>
      </c>
      <c r="I11" s="3" t="str">
        <f>(L1/L2)*SQRT((I5-I8^2*I4)/(I1-2))</f>
        <v>#DIV/0!</v>
      </c>
    </row>
    <row r="12" ht="14.25" customHeight="1">
      <c r="H12" s="1" t="s">
        <v>29</v>
      </c>
      <c r="I12" s="3" t="str">
        <f>SQRT(I11^2/I4)</f>
        <v>#DIV/0!</v>
      </c>
    </row>
    <row r="13" ht="14.25" customHeight="1">
      <c r="H13" s="1" t="s">
        <v>30</v>
      </c>
      <c r="I13" s="3" t="str">
        <f>I11*SQRT(D7/(I1*D7-B8))</f>
        <v>#DIV/0!</v>
      </c>
    </row>
    <row r="14" ht="14.25" customHeight="1">
      <c r="H14" s="1" t="s">
        <v>31</v>
      </c>
      <c r="I14" s="3" t="str">
        <f>(I11/I8)*SQRT((1/I1)+((I3)^2/(I8^2*I4)))</f>
        <v>#DIV/0!</v>
      </c>
    </row>
    <row r="15" ht="14.25" customHeight="1">
      <c r="H15" s="1"/>
    </row>
    <row r="16" ht="14.25" customHeight="1">
      <c r="H16" s="1" t="s">
        <v>32</v>
      </c>
      <c r="I16" s="9">
        <f>TINV(0.05,I1-2)</f>
        <v>3.182446305</v>
      </c>
    </row>
    <row r="17" ht="14.25" customHeight="1">
      <c r="H17" s="1"/>
    </row>
    <row r="18" ht="15.0" customHeight="1">
      <c r="H18" s="10" t="s">
        <v>33</v>
      </c>
    </row>
    <row r="19" ht="14.25" customHeight="1">
      <c r="H19" s="1" t="s">
        <v>34</v>
      </c>
      <c r="I19" s="3" t="str">
        <f>I16*I12</f>
        <v>#DIV/0!</v>
      </c>
    </row>
    <row r="20" ht="14.25" customHeight="1">
      <c r="H20" s="1" t="s">
        <v>35</v>
      </c>
      <c r="I20" s="3" t="str">
        <f>I16*I13</f>
        <v>#DIV/0!</v>
      </c>
    </row>
    <row r="21" ht="14.25" customHeight="1">
      <c r="H21" s="1" t="s">
        <v>36</v>
      </c>
      <c r="I21" s="3" t="str">
        <f>I16*I14</f>
        <v>#DIV/0!</v>
      </c>
    </row>
    <row r="22" ht="14.25" customHeight="1">
      <c r="H22" s="1"/>
    </row>
    <row r="23" ht="14.25" customHeight="1">
      <c r="H23" s="1"/>
    </row>
    <row r="24" ht="14.25" customHeight="1">
      <c r="H24" s="1"/>
    </row>
    <row r="25" ht="14.25" customHeight="1">
      <c r="H25" s="1"/>
    </row>
    <row r="26" ht="14.25" customHeight="1">
      <c r="H26" s="1"/>
    </row>
    <row r="27" ht="14.25" customHeight="1">
      <c r="H27" s="1"/>
    </row>
    <row r="28" ht="14.25" customHeight="1">
      <c r="H28" s="1"/>
    </row>
    <row r="29" ht="14.25" customHeight="1">
      <c r="H29" s="1"/>
    </row>
    <row r="30" ht="14.25" customHeight="1">
      <c r="H30" s="1"/>
    </row>
    <row r="31" ht="14.25" customHeight="1">
      <c r="H31" s="1"/>
    </row>
    <row r="32" ht="14.25" customHeight="1">
      <c r="H32" s="1"/>
    </row>
    <row r="33" ht="14.25" customHeight="1">
      <c r="H33" s="1"/>
    </row>
    <row r="34" ht="14.25" customHeight="1">
      <c r="H34" s="1"/>
    </row>
    <row r="35" ht="14.25" customHeight="1">
      <c r="H35" s="1"/>
    </row>
    <row r="36" ht="14.25" customHeight="1">
      <c r="H36" s="1"/>
    </row>
    <row r="37" ht="14.25" customHeight="1">
      <c r="H37" s="1"/>
    </row>
    <row r="38" ht="14.25" customHeight="1">
      <c r="H38" s="1"/>
    </row>
    <row r="39" ht="14.25" customHeight="1">
      <c r="H39" s="1"/>
    </row>
    <row r="40" ht="14.25" customHeight="1">
      <c r="H40" s="1"/>
    </row>
    <row r="41" ht="14.25" customHeight="1">
      <c r="H41" s="1"/>
    </row>
    <row r="42" ht="14.25" customHeight="1">
      <c r="H42" s="1"/>
    </row>
    <row r="43" ht="14.25" customHeight="1">
      <c r="H43" s="1"/>
    </row>
    <row r="44" ht="14.25" customHeight="1">
      <c r="H44" s="1"/>
    </row>
    <row r="45" ht="14.25" customHeight="1">
      <c r="H45" s="1"/>
    </row>
    <row r="46" ht="14.25" customHeight="1">
      <c r="H46" s="1"/>
    </row>
    <row r="47" ht="14.25" customHeight="1">
      <c r="H47" s="1"/>
    </row>
    <row r="48" ht="14.25" customHeight="1">
      <c r="H48" s="1"/>
    </row>
    <row r="49" ht="14.25" customHeight="1">
      <c r="H49" s="1"/>
    </row>
    <row r="50" ht="14.25" customHeight="1">
      <c r="H50" s="1"/>
    </row>
    <row r="51" ht="14.25" customHeight="1">
      <c r="H51" s="1"/>
    </row>
    <row r="52" ht="14.25" customHeight="1">
      <c r="H52" s="1"/>
    </row>
    <row r="53" ht="14.25" customHeight="1">
      <c r="H53" s="1"/>
    </row>
    <row r="54" ht="14.25" customHeight="1">
      <c r="H54" s="1"/>
    </row>
    <row r="55" ht="14.25" customHeight="1">
      <c r="H55" s="1"/>
    </row>
    <row r="56" ht="14.25" customHeight="1">
      <c r="H56" s="1"/>
    </row>
    <row r="57" ht="14.25" customHeight="1">
      <c r="H57" s="1"/>
    </row>
    <row r="58" ht="14.25" customHeight="1">
      <c r="H58" s="1"/>
    </row>
    <row r="59" ht="14.25" customHeight="1">
      <c r="H59" s="1"/>
    </row>
    <row r="60" ht="14.25" customHeight="1">
      <c r="H60" s="1"/>
    </row>
    <row r="61" ht="14.25" customHeight="1">
      <c r="H61" s="1"/>
    </row>
    <row r="62" ht="14.25" customHeight="1">
      <c r="H62" s="1"/>
    </row>
    <row r="63" ht="14.25" customHeight="1">
      <c r="H63" s="1"/>
    </row>
    <row r="64" ht="14.25" customHeight="1">
      <c r="H64" s="1"/>
    </row>
    <row r="65" ht="14.25" customHeight="1">
      <c r="H65" s="1"/>
    </row>
    <row r="66" ht="14.25" customHeight="1">
      <c r="H66" s="1"/>
    </row>
    <row r="67" ht="14.25" customHeight="1">
      <c r="H67" s="1"/>
    </row>
    <row r="68" ht="14.25" customHeight="1">
      <c r="H68" s="1"/>
    </row>
    <row r="69" ht="14.25" customHeight="1">
      <c r="H69" s="1"/>
    </row>
    <row r="70" ht="14.25" customHeight="1">
      <c r="H70" s="1"/>
    </row>
    <row r="71" ht="14.25" customHeight="1">
      <c r="H71" s="1"/>
    </row>
    <row r="72" ht="14.25" customHeight="1">
      <c r="H72" s="1"/>
    </row>
    <row r="73" ht="14.25" customHeight="1">
      <c r="H73" s="1"/>
    </row>
    <row r="74" ht="14.25" customHeight="1">
      <c r="H74" s="1"/>
    </row>
    <row r="75" ht="14.25" customHeight="1">
      <c r="H75" s="1"/>
    </row>
    <row r="76" ht="14.25" customHeight="1">
      <c r="H76" s="1"/>
    </row>
    <row r="77" ht="14.25" customHeight="1">
      <c r="H77" s="1"/>
    </row>
    <row r="78" ht="14.25" customHeight="1">
      <c r="H78" s="1"/>
    </row>
    <row r="79" ht="14.25" customHeight="1">
      <c r="H79" s="1"/>
    </row>
    <row r="80" ht="14.25" customHeight="1">
      <c r="H80" s="1"/>
    </row>
    <row r="81" ht="14.25" customHeight="1">
      <c r="H81" s="1"/>
    </row>
    <row r="82" ht="14.25" customHeight="1">
      <c r="H82" s="1"/>
    </row>
    <row r="83" ht="14.25" customHeight="1">
      <c r="H83" s="1"/>
    </row>
    <row r="84" ht="14.25" customHeight="1">
      <c r="H84" s="1"/>
    </row>
    <row r="85" ht="14.25" customHeight="1">
      <c r="H85" s="1"/>
    </row>
    <row r="86" ht="14.25" customHeight="1">
      <c r="H86" s="1"/>
    </row>
    <row r="87" ht="14.25" customHeight="1">
      <c r="H87" s="1"/>
    </row>
    <row r="88" ht="14.25" customHeight="1">
      <c r="H88" s="1"/>
    </row>
    <row r="89" ht="14.25" customHeight="1">
      <c r="H89" s="1"/>
    </row>
    <row r="90" ht="14.25" customHeight="1">
      <c r="H90" s="1"/>
    </row>
    <row r="91" ht="14.25" customHeight="1">
      <c r="H91" s="1"/>
    </row>
    <row r="92" ht="14.25" customHeight="1">
      <c r="H92" s="1"/>
    </row>
    <row r="93" ht="14.25" customHeight="1">
      <c r="H93" s="1"/>
    </row>
    <row r="94" ht="14.25" customHeight="1">
      <c r="H94" s="1"/>
    </row>
    <row r="95" ht="14.25" customHeight="1">
      <c r="H95" s="1"/>
    </row>
    <row r="96" ht="14.25" customHeight="1">
      <c r="H96" s="1"/>
    </row>
    <row r="97" ht="14.25" customHeight="1">
      <c r="H97" s="1"/>
    </row>
    <row r="98" ht="14.25" customHeight="1">
      <c r="H98" s="1"/>
    </row>
    <row r="99" ht="14.25" customHeight="1">
      <c r="H99" s="1"/>
    </row>
    <row r="100" ht="14.25" customHeight="1">
      <c r="H100" s="1"/>
    </row>
    <row r="101" ht="14.25" customHeight="1">
      <c r="H101" s="1"/>
    </row>
    <row r="102" ht="14.25" customHeight="1">
      <c r="H102" s="1"/>
    </row>
    <row r="103" ht="14.25" customHeight="1">
      <c r="H103" s="1"/>
    </row>
    <row r="104" ht="14.25" customHeight="1">
      <c r="H104" s="1"/>
    </row>
    <row r="105" ht="14.25" customHeight="1">
      <c r="H105" s="1"/>
    </row>
    <row r="106" ht="14.25" customHeight="1">
      <c r="H106" s="1"/>
    </row>
    <row r="107" ht="14.25" customHeight="1">
      <c r="H107" s="1"/>
    </row>
    <row r="108" ht="14.25" customHeight="1">
      <c r="H108" s="1"/>
    </row>
    <row r="109" ht="14.25" customHeight="1">
      <c r="H109" s="1"/>
    </row>
    <row r="110" ht="14.25" customHeight="1">
      <c r="H110" s="1"/>
    </row>
    <row r="111" ht="14.25" customHeight="1">
      <c r="H111" s="1"/>
    </row>
    <row r="112" ht="14.25" customHeight="1">
      <c r="H112" s="1"/>
    </row>
    <row r="113" ht="14.25" customHeight="1">
      <c r="H113" s="1"/>
    </row>
    <row r="114" ht="14.25" customHeight="1">
      <c r="H114" s="1"/>
    </row>
    <row r="115" ht="14.25" customHeight="1">
      <c r="H115" s="1"/>
    </row>
    <row r="116" ht="14.25" customHeight="1">
      <c r="H116" s="1"/>
    </row>
    <row r="117" ht="14.25" customHeight="1">
      <c r="H117" s="1"/>
    </row>
    <row r="118" ht="14.25" customHeight="1">
      <c r="H118" s="1"/>
    </row>
    <row r="119" ht="14.25" customHeight="1">
      <c r="H119" s="1"/>
    </row>
    <row r="120" ht="14.25" customHeight="1">
      <c r="H120" s="1"/>
    </row>
    <row r="121" ht="14.25" customHeight="1">
      <c r="H121" s="1"/>
    </row>
    <row r="122" ht="14.25" customHeight="1">
      <c r="H122" s="1"/>
    </row>
    <row r="123" ht="14.25" customHeight="1">
      <c r="H123" s="1"/>
    </row>
    <row r="124" ht="14.25" customHeight="1">
      <c r="H124" s="1"/>
    </row>
    <row r="125" ht="14.25" customHeight="1">
      <c r="H125" s="1"/>
    </row>
    <row r="126" ht="14.25" customHeight="1">
      <c r="H126" s="1"/>
    </row>
    <row r="127" ht="14.25" customHeight="1">
      <c r="H127" s="1"/>
    </row>
    <row r="128" ht="14.25" customHeight="1">
      <c r="H128" s="1"/>
    </row>
    <row r="129" ht="14.25" customHeight="1">
      <c r="H129" s="1"/>
    </row>
    <row r="130" ht="14.25" customHeight="1">
      <c r="H130" s="1"/>
    </row>
    <row r="131" ht="14.25" customHeight="1">
      <c r="H131" s="1"/>
    </row>
    <row r="132" ht="14.25" customHeight="1">
      <c r="H132" s="1"/>
    </row>
    <row r="133" ht="14.25" customHeight="1">
      <c r="H133" s="1"/>
    </row>
    <row r="134" ht="14.25" customHeight="1">
      <c r="H134" s="1"/>
    </row>
    <row r="135" ht="14.25" customHeight="1">
      <c r="H135" s="1"/>
    </row>
    <row r="136" ht="14.25" customHeight="1">
      <c r="H136" s="1"/>
    </row>
    <row r="137" ht="14.25" customHeight="1">
      <c r="H137" s="1"/>
    </row>
    <row r="138" ht="14.25" customHeight="1">
      <c r="H138" s="1"/>
    </row>
    <row r="139" ht="14.25" customHeight="1">
      <c r="H139" s="1"/>
    </row>
    <row r="140" ht="14.25" customHeight="1">
      <c r="H140" s="1"/>
    </row>
    <row r="141" ht="14.25" customHeight="1">
      <c r="H141" s="1"/>
    </row>
    <row r="142" ht="14.25" customHeight="1">
      <c r="H142" s="1"/>
    </row>
    <row r="143" ht="14.25" customHeight="1">
      <c r="H143" s="1"/>
    </row>
    <row r="144" ht="14.25" customHeight="1">
      <c r="H144" s="1"/>
    </row>
    <row r="145" ht="14.25" customHeight="1">
      <c r="H145" s="1"/>
    </row>
    <row r="146" ht="14.25" customHeight="1">
      <c r="H146" s="1"/>
    </row>
    <row r="147" ht="14.25" customHeight="1">
      <c r="H147" s="1"/>
    </row>
    <row r="148" ht="14.25" customHeight="1">
      <c r="H148" s="1"/>
    </row>
    <row r="149" ht="14.25" customHeight="1">
      <c r="H149" s="1"/>
    </row>
    <row r="150" ht="14.25" customHeight="1">
      <c r="H150" s="1"/>
    </row>
    <row r="151" ht="14.25" customHeight="1">
      <c r="H151" s="1"/>
    </row>
    <row r="152" ht="14.25" customHeight="1">
      <c r="H152" s="1"/>
    </row>
    <row r="153" ht="14.25" customHeight="1">
      <c r="H153" s="1"/>
    </row>
    <row r="154" ht="14.25" customHeight="1">
      <c r="H154" s="1"/>
    </row>
    <row r="155" ht="14.25" customHeight="1">
      <c r="H155" s="1"/>
    </row>
    <row r="156" ht="14.25" customHeight="1">
      <c r="H156" s="1"/>
    </row>
    <row r="157" ht="14.25" customHeight="1">
      <c r="H157" s="1"/>
    </row>
    <row r="158" ht="14.25" customHeight="1">
      <c r="H158" s="1"/>
    </row>
    <row r="159" ht="14.25" customHeight="1">
      <c r="H159" s="1"/>
    </row>
    <row r="160" ht="14.25" customHeight="1">
      <c r="H160" s="1"/>
    </row>
    <row r="161" ht="14.25" customHeight="1">
      <c r="H161" s="1"/>
    </row>
    <row r="162" ht="14.25" customHeight="1">
      <c r="H162" s="1"/>
    </row>
    <row r="163" ht="14.25" customHeight="1">
      <c r="H163" s="1"/>
    </row>
    <row r="164" ht="14.25" customHeight="1">
      <c r="H164" s="1"/>
    </row>
    <row r="165" ht="14.25" customHeight="1">
      <c r="H165" s="1"/>
    </row>
    <row r="166" ht="14.25" customHeight="1">
      <c r="H166" s="1"/>
    </row>
    <row r="167" ht="14.25" customHeight="1">
      <c r="H167" s="1"/>
    </row>
    <row r="168" ht="14.25" customHeight="1">
      <c r="H168" s="1"/>
    </row>
    <row r="169" ht="14.25" customHeight="1">
      <c r="H169" s="1"/>
    </row>
    <row r="170" ht="14.25" customHeight="1">
      <c r="H170" s="1"/>
    </row>
    <row r="171" ht="14.25" customHeight="1">
      <c r="H171" s="1"/>
    </row>
    <row r="172" ht="14.25" customHeight="1">
      <c r="H172" s="1"/>
    </row>
    <row r="173" ht="14.25" customHeight="1">
      <c r="H173" s="1"/>
    </row>
    <row r="174" ht="14.25" customHeight="1">
      <c r="H174" s="1"/>
    </row>
    <row r="175" ht="14.25" customHeight="1">
      <c r="H175" s="1"/>
    </row>
    <row r="176" ht="14.25" customHeight="1">
      <c r="H176" s="1"/>
    </row>
    <row r="177" ht="14.25" customHeight="1">
      <c r="H177" s="1"/>
    </row>
    <row r="178" ht="14.25" customHeight="1">
      <c r="H178" s="1"/>
    </row>
    <row r="179" ht="14.25" customHeight="1">
      <c r="H179" s="1"/>
    </row>
    <row r="180" ht="14.25" customHeight="1">
      <c r="H180" s="1"/>
    </row>
    <row r="181" ht="14.25" customHeight="1">
      <c r="H181" s="1"/>
    </row>
    <row r="182" ht="14.25" customHeight="1">
      <c r="H182" s="1"/>
    </row>
    <row r="183" ht="14.25" customHeight="1">
      <c r="H183" s="1"/>
    </row>
    <row r="184" ht="14.25" customHeight="1">
      <c r="H184" s="1"/>
    </row>
    <row r="185" ht="14.25" customHeight="1">
      <c r="H185" s="1"/>
    </row>
    <row r="186" ht="14.25" customHeight="1">
      <c r="H186" s="1"/>
    </row>
    <row r="187" ht="14.25" customHeight="1">
      <c r="H187" s="1"/>
    </row>
    <row r="188" ht="14.25" customHeight="1">
      <c r="H188" s="1"/>
    </row>
    <row r="189" ht="14.25" customHeight="1">
      <c r="H189" s="1"/>
    </row>
    <row r="190" ht="14.25" customHeight="1">
      <c r="H190" s="1"/>
    </row>
    <row r="191" ht="14.25" customHeight="1">
      <c r="H191" s="1"/>
    </row>
    <row r="192" ht="14.25" customHeight="1">
      <c r="H192" s="1"/>
    </row>
    <row r="193" ht="14.25" customHeight="1">
      <c r="H193" s="1"/>
    </row>
    <row r="194" ht="14.25" customHeight="1">
      <c r="H194" s="1"/>
    </row>
    <row r="195" ht="14.25" customHeight="1">
      <c r="H195" s="1"/>
    </row>
    <row r="196" ht="14.25" customHeight="1">
      <c r="H196" s="1"/>
    </row>
    <row r="197" ht="14.25" customHeight="1">
      <c r="H197" s="1"/>
    </row>
    <row r="198" ht="14.25" customHeight="1">
      <c r="H198" s="1"/>
    </row>
    <row r="199" ht="14.25" customHeight="1">
      <c r="H199" s="1"/>
    </row>
    <row r="200" ht="14.25" customHeight="1">
      <c r="H200" s="1"/>
    </row>
    <row r="201" ht="14.25" customHeight="1">
      <c r="H201" s="1"/>
    </row>
    <row r="202" ht="14.25" customHeight="1">
      <c r="H202" s="1"/>
    </row>
    <row r="203" ht="14.25" customHeight="1">
      <c r="H203" s="1"/>
    </row>
    <row r="204" ht="14.25" customHeight="1">
      <c r="H204" s="1"/>
    </row>
    <row r="205" ht="14.25" customHeight="1">
      <c r="H205" s="1"/>
    </row>
    <row r="206" ht="14.25" customHeight="1">
      <c r="H206" s="1"/>
    </row>
    <row r="207" ht="14.25" customHeight="1">
      <c r="H207" s="1"/>
    </row>
    <row r="208" ht="14.25" customHeight="1">
      <c r="H208" s="1"/>
    </row>
    <row r="209" ht="14.25" customHeight="1">
      <c r="H209" s="1"/>
    </row>
    <row r="210" ht="14.25" customHeight="1">
      <c r="H210" s="1"/>
    </row>
    <row r="211" ht="14.25" customHeight="1">
      <c r="H211" s="1"/>
    </row>
    <row r="212" ht="14.25" customHeight="1">
      <c r="H212" s="1"/>
    </row>
    <row r="213" ht="14.25" customHeight="1">
      <c r="H213" s="1"/>
    </row>
    <row r="214" ht="14.25" customHeight="1">
      <c r="H214" s="1"/>
    </row>
    <row r="215" ht="14.25" customHeight="1">
      <c r="H215" s="1"/>
    </row>
    <row r="216" ht="14.25" customHeight="1">
      <c r="H216" s="1"/>
    </row>
    <row r="217" ht="14.25" customHeight="1">
      <c r="H217" s="1"/>
    </row>
    <row r="218" ht="14.25" customHeight="1">
      <c r="H218" s="1"/>
    </row>
    <row r="219" ht="14.25" customHeight="1">
      <c r="H219" s="1"/>
    </row>
    <row r="220" ht="14.25" customHeight="1">
      <c r="H220" s="1"/>
    </row>
    <row r="221" ht="14.25" customHeight="1">
      <c r="H221" s="1"/>
    </row>
    <row r="222" ht="14.25" customHeight="1">
      <c r="H222" s="1"/>
    </row>
    <row r="223" ht="14.25" customHeight="1">
      <c r="H223" s="1"/>
    </row>
    <row r="224" ht="14.25" customHeight="1">
      <c r="H224" s="1"/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