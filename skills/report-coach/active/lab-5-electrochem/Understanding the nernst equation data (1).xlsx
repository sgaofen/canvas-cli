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dkey\Downloads\"/>
    </mc:Choice>
  </mc:AlternateContent>
  <xr:revisionPtr revIDLastSave="0" documentId="13_ncr:1_{C3030BBC-36C2-46ED-B938-EB65D776A8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rt A Nernst Equ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hXrgREG8/okUpKv3+Q+xx7tIGfqw=="/>
    </ext>
  </extLst>
</workbook>
</file>

<file path=xl/calcChain.xml><?xml version="1.0" encoding="utf-8"?>
<calcChain xmlns="http://schemas.openxmlformats.org/spreadsheetml/2006/main">
  <c r="C11" i="1" l="1"/>
  <c r="D11" i="1" s="1"/>
  <c r="E11" i="1" s="1"/>
  <c r="B11" i="1"/>
  <c r="B10" i="1"/>
  <c r="C10" i="1" s="1"/>
  <c r="D10" i="1" s="1"/>
  <c r="E10" i="1" s="1"/>
  <c r="B9" i="1"/>
  <c r="C8" i="1"/>
  <c r="D8" i="1" s="1"/>
  <c r="E8" i="1" s="1"/>
  <c r="B8" i="1"/>
  <c r="B7" i="1"/>
  <c r="C7" i="1" s="1"/>
  <c r="D7" i="1" s="1"/>
  <c r="E7" i="1" s="1"/>
  <c r="B6" i="1"/>
  <c r="C5" i="1"/>
  <c r="D5" i="1" s="1"/>
  <c r="E5" i="1" s="1"/>
  <c r="B5" i="1"/>
  <c r="B4" i="1"/>
  <c r="C4" i="1" s="1"/>
  <c r="D4" i="1" s="1"/>
  <c r="E4" i="1" s="1"/>
  <c r="B3" i="1"/>
  <c r="C2" i="1"/>
  <c r="D2" i="1" s="1"/>
  <c r="E2" i="1" s="1"/>
  <c r="B2" i="1"/>
  <c r="D9" i="1" l="1"/>
  <c r="E9" i="1" s="1"/>
  <c r="C3" i="1"/>
  <c r="D3" i="1" s="1"/>
  <c r="E3" i="1" s="1"/>
  <c r="C6" i="1"/>
  <c r="D6" i="1" s="1"/>
  <c r="E6" i="1" s="1"/>
  <c r="C9" i="1"/>
</calcChain>
</file>

<file path=xl/sharedStrings.xml><?xml version="1.0" encoding="utf-8"?>
<sst xmlns="http://schemas.openxmlformats.org/spreadsheetml/2006/main" count="6" uniqueCount="6">
  <si>
    <t>Volume of 0.10 M AgNO3 solution added (mL)</t>
  </si>
  <si>
    <t>Added Ag+ Volume (L)</t>
  </si>
  <si>
    <t>Total Volume (L)</t>
  </si>
  <si>
    <t>[Ag+] (M)</t>
  </si>
  <si>
    <t>log(1/[Ag+])</t>
  </si>
  <si>
    <t>Ecell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</si>
</sst>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00"/>
    <numFmt numFmtId="167" formatCode="0.00000"/>
  </numFmts>
  <fonts count="3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1.25" defaultRowHeight="15" customHeight="1" x14ac:dyDescent="0.35"/>
  <cols>
    <col min="1" max="1" width="42.75" customWidth="1"/>
    <col min="2" max="2" width="17.75" customWidth="1"/>
    <col min="3" max="3" width="13.33203125" customWidth="1"/>
    <col min="4" max="4" width="10.33203125" customWidth="1"/>
    <col min="5" max="5" width="9.75" customWidth="1"/>
  </cols>
  <sheetData>
    <row r="1" spans="1:26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5" x14ac:dyDescent="0.35">
      <c r="A2" s="4">
        <v>2</v>
      </c>
      <c r="B2" s="5">
        <f t="shared" ref="B2:B11" si="0">A2/1000</f>
        <v>2E-3</v>
      </c>
      <c r="C2" s="5">
        <f t="shared" ref="C2:C11" si="1">B2+0.1</f>
        <v>0.10200000000000001</v>
      </c>
      <c r="D2" s="6">
        <f t="shared" ref="D2:D11" si="2">B2*0.1/C2</f>
        <v>1.9607843137254902E-3</v>
      </c>
      <c r="E2" s="6">
        <f t="shared" ref="E2:E11" si="3">LOG10(1/D2)</f>
        <v>2.7075701760979363</v>
      </c>
      <c r="F2" s="7">
        <v>0.38512000000000002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5" x14ac:dyDescent="0.35">
      <c r="A3" s="4">
        <v>4</v>
      </c>
      <c r="B3" s="5">
        <f t="shared" si="0"/>
        <v>4.0000000000000001E-3</v>
      </c>
      <c r="C3" s="5">
        <f t="shared" si="1"/>
        <v>0.10400000000000001</v>
      </c>
      <c r="D3" s="6">
        <f t="shared" si="2"/>
        <v>3.8461538461538459E-3</v>
      </c>
      <c r="E3" s="6">
        <f t="shared" si="3"/>
        <v>2.4149733479708178</v>
      </c>
      <c r="F3" s="7">
        <v>0.38956000000000002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5" x14ac:dyDescent="0.35">
      <c r="A4" s="4">
        <v>6</v>
      </c>
      <c r="B4" s="5">
        <f t="shared" si="0"/>
        <v>6.0000000000000001E-3</v>
      </c>
      <c r="C4" s="5">
        <f t="shared" si="1"/>
        <v>0.10600000000000001</v>
      </c>
      <c r="D4" s="6">
        <f t="shared" si="2"/>
        <v>5.6603773584905656E-3</v>
      </c>
      <c r="E4" s="6">
        <f t="shared" si="3"/>
        <v>2.2471546148811266</v>
      </c>
      <c r="F4" s="7">
        <v>0.39348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5" x14ac:dyDescent="0.35">
      <c r="A5" s="4">
        <v>8</v>
      </c>
      <c r="B5" s="5">
        <f t="shared" si="0"/>
        <v>8.0000000000000002E-3</v>
      </c>
      <c r="C5" s="5">
        <f t="shared" si="1"/>
        <v>0.10800000000000001</v>
      </c>
      <c r="D5" s="6">
        <f t="shared" si="2"/>
        <v>7.4074074074074068E-3</v>
      </c>
      <c r="E5" s="6">
        <f t="shared" si="3"/>
        <v>2.1303337684950061</v>
      </c>
      <c r="F5" s="7">
        <v>0.39734000000000003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5" x14ac:dyDescent="0.35">
      <c r="A6" s="4">
        <v>10</v>
      </c>
      <c r="B6" s="5">
        <f t="shared" si="0"/>
        <v>0.01</v>
      </c>
      <c r="C6" s="5">
        <f t="shared" si="1"/>
        <v>0.11</v>
      </c>
      <c r="D6" s="6">
        <f t="shared" si="2"/>
        <v>9.0909090909090905E-3</v>
      </c>
      <c r="E6" s="6">
        <f t="shared" si="3"/>
        <v>2.0413926851582249</v>
      </c>
      <c r="F6" s="7">
        <v>0.40194000000000002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5" x14ac:dyDescent="0.35">
      <c r="A7" s="4">
        <v>12</v>
      </c>
      <c r="B7" s="5">
        <f t="shared" si="0"/>
        <v>1.2E-2</v>
      </c>
      <c r="C7" s="5">
        <f t="shared" si="1"/>
        <v>0.112</v>
      </c>
      <c r="D7" s="6">
        <f t="shared" si="2"/>
        <v>1.0714285714285714E-2</v>
      </c>
      <c r="E7" s="6">
        <f t="shared" si="3"/>
        <v>1.9700367766225568</v>
      </c>
      <c r="F7" s="7">
        <v>0.40626000000000001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5" x14ac:dyDescent="0.35">
      <c r="A8" s="4">
        <v>14</v>
      </c>
      <c r="B8" s="5">
        <f t="shared" si="0"/>
        <v>1.4E-2</v>
      </c>
      <c r="C8" s="5">
        <f t="shared" si="1"/>
        <v>0.114</v>
      </c>
      <c r="D8" s="6">
        <f t="shared" si="2"/>
        <v>1.2280701754385967E-2</v>
      </c>
      <c r="E8" s="6">
        <f t="shared" si="3"/>
        <v>1.9107768156582345</v>
      </c>
      <c r="F8" s="7">
        <v>0.41177999999999998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5" x14ac:dyDescent="0.35">
      <c r="A9" s="4">
        <v>16</v>
      </c>
      <c r="B9" s="5">
        <f t="shared" si="0"/>
        <v>1.6E-2</v>
      </c>
      <c r="C9" s="5">
        <f t="shared" si="1"/>
        <v>0.11600000000000001</v>
      </c>
      <c r="D9" s="6">
        <f t="shared" si="2"/>
        <v>1.3793103448275862E-2</v>
      </c>
      <c r="E9" s="6">
        <f t="shared" si="3"/>
        <v>1.8603380065709938</v>
      </c>
      <c r="F9" s="7">
        <v>0.41650999999999999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5" x14ac:dyDescent="0.35">
      <c r="A10" s="4">
        <v>18</v>
      </c>
      <c r="B10" s="5">
        <f t="shared" si="0"/>
        <v>1.7999999999999999E-2</v>
      </c>
      <c r="C10" s="5">
        <f t="shared" si="1"/>
        <v>0.11800000000000001</v>
      </c>
      <c r="D10" s="6">
        <f t="shared" si="2"/>
        <v>1.5254237288135592E-2</v>
      </c>
      <c r="E10" s="6">
        <f t="shared" si="3"/>
        <v>1.8166095022028192</v>
      </c>
      <c r="F10" s="7">
        <v>0.41902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5" x14ac:dyDescent="0.35">
      <c r="A11" s="4">
        <v>20</v>
      </c>
      <c r="B11" s="5">
        <f t="shared" si="0"/>
        <v>0.02</v>
      </c>
      <c r="C11" s="5">
        <f t="shared" si="1"/>
        <v>0.12000000000000001</v>
      </c>
      <c r="D11" s="6">
        <f t="shared" si="2"/>
        <v>1.6666666666666666E-2</v>
      </c>
      <c r="E11" s="6">
        <f t="shared" si="3"/>
        <v>1.7781512503836436</v>
      </c>
      <c r="F11" s="8">
        <v>0.4244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5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5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5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5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5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5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5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5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A Nernst Equation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Ilektra Andoni</dc:creator>
  <cp:lastModifiedBy>Nathaniel Keyes</cp:lastModifiedBy>
  <dcterms:created xsi:type="dcterms:W3CDTF">2021-04-29T01:50:55Z</dcterms:created>
  <dcterms:modified xsi:type="dcterms:W3CDTF">2026-04-29T22:11:47Z</dcterms:modified>
</cp:coreProperties>
</file>